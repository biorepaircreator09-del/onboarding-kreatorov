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Смета план" sheetId="1" state="visible" r:id="rId1"/>
    <sheet name="Смета фак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₽&quot;"/>
  </numFmts>
  <fonts count="6">
    <font>
      <name val="Arial"/>
      <color rgb="FF000000"/>
      <sz val="10"/>
      <scheme val="minor"/>
    </font>
    <font>
      <name val="Arial"/>
      <b val="1"/>
      <color theme="1"/>
      <sz val="12"/>
    </font>
    <font>
      <name val="Arial"/>
      <color theme="1"/>
      <sz val="11"/>
    </font>
    <font>
      <name val="Carlito"/>
      <color theme="1"/>
      <sz val="11"/>
    </font>
    <font>
      <name val="Arial"/>
      <b val="1"/>
      <color theme="1"/>
      <sz val="11"/>
    </font>
    <font>
      <name val="Arial"/>
      <b val="1"/>
      <color theme="1"/>
      <sz val="14"/>
    </font>
  </fonts>
  <fills count="4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164" fontId="2" fillId="0" borderId="0" applyAlignment="1" pivotButton="0" quotePrefix="0" xfId="0">
      <alignment horizontal="center" wrapText="1"/>
    </xf>
    <xf numFmtId="0" fontId="3" fillId="0" borderId="0" pivotButton="0" quotePrefix="0" xfId="0"/>
    <xf numFmtId="164" fontId="4" fillId="3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164" fontId="2" fillId="0" borderId="0" applyAlignment="1" pivotButton="0" quotePrefix="0" xfId="0">
      <alignment horizontal="center" wrapText="1"/>
    </xf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164" fontId="5" fillId="3" borderId="0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2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Название</t>
        </is>
      </c>
      <c r="B1" s="1" t="inlineStr">
        <is>
          <t>Стоимость</t>
        </is>
      </c>
      <c r="C1" s="1" t="inlineStr">
        <is>
          <t>Примечание</t>
        </is>
      </c>
    </row>
    <row r="2">
      <c r="A2" s="7" t="inlineStr">
        <is>
          <t>Оплата ставок</t>
        </is>
      </c>
    </row>
    <row r="3">
      <c r="A3" s="8" t="inlineStr">
        <is>
          <t xml:space="preserve">Оператор </t>
        </is>
      </c>
      <c r="B3" s="9" t="n">
        <v>20000</v>
      </c>
      <c r="C3" s="5" t="n"/>
    </row>
    <row r="4">
      <c r="A4" s="8" t="inlineStr">
        <is>
          <t>ИТОГО:</t>
        </is>
      </c>
      <c r="C4" s="6">
        <f>SUM(B3)</f>
        <v/>
      </c>
    </row>
    <row r="5">
      <c r="A5" s="7" t="inlineStr">
        <is>
          <t>Локация</t>
        </is>
      </c>
    </row>
    <row r="6">
      <c r="A6" s="8" t="inlineStr">
        <is>
          <t>Квартира</t>
        </is>
      </c>
      <c r="B6" s="9" t="n">
        <v>8000</v>
      </c>
      <c r="C6" s="5" t="n"/>
    </row>
    <row r="7">
      <c r="A7" s="8" t="inlineStr">
        <is>
          <t>ИТОГО:</t>
        </is>
      </c>
      <c r="C7" s="6">
        <f>SUM(B6)</f>
        <v/>
      </c>
    </row>
    <row r="8">
      <c r="A8" s="7" t="inlineStr">
        <is>
          <t>Актеры</t>
        </is>
      </c>
    </row>
    <row r="9">
      <c r="A9" s="8" t="inlineStr">
        <is>
          <t>Актёр — мужчина</t>
        </is>
      </c>
      <c r="B9" s="9" t="n">
        <v>10000</v>
      </c>
      <c r="C9" s="5" t="n"/>
    </row>
    <row r="10">
      <c r="A10" s="8" t="inlineStr">
        <is>
          <t>ИТОГО:</t>
        </is>
      </c>
      <c r="C10" s="6">
        <f>SUM(B9)</f>
        <v/>
      </c>
    </row>
    <row r="11">
      <c r="A11" s="11" t="inlineStr">
        <is>
          <t>Реквизит</t>
        </is>
      </c>
    </row>
    <row r="12">
      <c r="A12" s="8" t="inlineStr">
        <is>
          <t>Скатерть</t>
        </is>
      </c>
      <c r="B12" s="9" t="n">
        <v>1000</v>
      </c>
      <c r="C12" s="5" t="n"/>
    </row>
    <row r="13">
      <c r="A13" s="8" t="inlineStr">
        <is>
          <t xml:space="preserve">Реквизит </t>
        </is>
      </c>
      <c r="B13" s="9" t="n">
        <v>3500</v>
      </c>
      <c r="C13" s="5" t="n"/>
    </row>
    <row r="14">
      <c r="A14" s="8" t="inlineStr">
        <is>
          <t>ИТОГО:</t>
        </is>
      </c>
      <c r="C14" s="6">
        <f>SUM(B12:B13)</f>
        <v/>
      </c>
    </row>
    <row r="15">
      <c r="A15" s="11" t="inlineStr">
        <is>
          <t>Обед</t>
        </is>
      </c>
    </row>
    <row r="16">
      <c r="A16" s="8" t="inlineStr">
        <is>
          <t>Обед на группу, 4 чел.</t>
        </is>
      </c>
      <c r="B16" s="9" t="n">
        <v>2000</v>
      </c>
      <c r="C16" s="8" t="n"/>
    </row>
    <row r="17">
      <c r="A17" s="8" t="inlineStr">
        <is>
          <t>ИТОГО:</t>
        </is>
      </c>
      <c r="C17" s="6">
        <f>SUM(B16)</f>
        <v/>
      </c>
    </row>
    <row r="18">
      <c r="A18" s="11" t="inlineStr">
        <is>
          <t xml:space="preserve">Монтаж </t>
        </is>
      </c>
    </row>
    <row r="19">
      <c r="A19" s="8" t="inlineStr">
        <is>
          <t>19 роликов</t>
        </is>
      </c>
      <c r="B19" s="9">
        <f>1100*19</f>
        <v/>
      </c>
      <c r="C19" s="8" t="inlineStr">
        <is>
          <t>4 × 600 ₽</t>
        </is>
      </c>
    </row>
    <row r="20">
      <c r="A20" s="8" t="inlineStr">
        <is>
          <t>ИТОГО:</t>
        </is>
      </c>
      <c r="C20" s="6">
        <f>SUM(B19)</f>
        <v/>
      </c>
    </row>
    <row r="21">
      <c r="A21" s="5" t="n"/>
      <c r="B21" s="5" t="n"/>
      <c r="C21" s="5" t="n"/>
    </row>
    <row r="22">
      <c r="A22" s="7" t="inlineStr">
        <is>
          <t>ИТОГОВАЯ СТОИМОСТЬ</t>
        </is>
      </c>
    </row>
    <row r="23">
      <c r="A23" s="12">
        <f>C10+C14+C17+C20+C4+C7</f>
        <v/>
      </c>
    </row>
  </sheetData>
  <mergeCells count="14">
    <mergeCell ref="A4:B4"/>
    <mergeCell ref="A20:B20"/>
    <mergeCell ref="A11:C11"/>
    <mergeCell ref="A7:B7"/>
    <mergeCell ref="A5:C5"/>
    <mergeCell ref="A23:C23"/>
    <mergeCell ref="A8:C8"/>
    <mergeCell ref="A10:B10"/>
    <mergeCell ref="A22:C22"/>
    <mergeCell ref="A18:C18"/>
    <mergeCell ref="A14:B14"/>
    <mergeCell ref="A17:B17"/>
    <mergeCell ref="A15:C15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2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Название</t>
        </is>
      </c>
      <c r="B1" s="1" t="inlineStr">
        <is>
          <t>Стоимость</t>
        </is>
      </c>
      <c r="C1" s="1" t="inlineStr">
        <is>
          <t>Примечание</t>
        </is>
      </c>
    </row>
    <row r="2">
      <c r="A2" s="7" t="inlineStr">
        <is>
          <t>Оплата ставок</t>
        </is>
      </c>
    </row>
    <row r="3">
      <c r="A3" s="8" t="inlineStr">
        <is>
          <t xml:space="preserve">Оператор </t>
        </is>
      </c>
      <c r="B3" s="9" t="n">
        <v>15000</v>
      </c>
      <c r="C3" s="5" t="n"/>
    </row>
    <row r="4">
      <c r="A4" s="8" t="inlineStr">
        <is>
          <t>ИТОГО:</t>
        </is>
      </c>
      <c r="C4" s="6">
        <f>SUM(B3)</f>
        <v/>
      </c>
    </row>
    <row r="5">
      <c r="A5" s="7" t="inlineStr">
        <is>
          <t>Локация</t>
        </is>
      </c>
    </row>
    <row r="6">
      <c r="A6" s="8" t="inlineStr">
        <is>
          <t>Квартира</t>
        </is>
      </c>
      <c r="B6" s="9">
        <f>5015+885</f>
        <v/>
      </c>
      <c r="C6" s="5" t="n"/>
    </row>
    <row r="7">
      <c r="A7" s="8" t="inlineStr">
        <is>
          <t>ИТОГО:</t>
        </is>
      </c>
      <c r="C7" s="6">
        <f>SUM(B6)</f>
        <v/>
      </c>
    </row>
    <row r="8">
      <c r="A8" s="7" t="inlineStr">
        <is>
          <t>Актеры</t>
        </is>
      </c>
    </row>
    <row r="9">
      <c r="A9" s="8" t="inlineStr">
        <is>
          <t>Актёр — мужчина</t>
        </is>
      </c>
      <c r="B9" s="9" t="n">
        <v>10000</v>
      </c>
      <c r="C9" s="5" t="n"/>
    </row>
    <row r="10">
      <c r="A10" s="8" t="inlineStr">
        <is>
          <t>ИТОГО:</t>
        </is>
      </c>
      <c r="C10" s="6">
        <f>SUM(B9)</f>
        <v/>
      </c>
    </row>
    <row r="11">
      <c r="A11" s="11" t="inlineStr">
        <is>
          <t>Реквизит</t>
        </is>
      </c>
    </row>
    <row r="12">
      <c r="A12" s="8" t="inlineStr">
        <is>
          <t>Реквизит с маркетплейса</t>
        </is>
      </c>
      <c r="B12" s="9" t="n">
        <v>7075</v>
      </c>
      <c r="C12" s="5" t="n"/>
    </row>
    <row r="13">
      <c r="A13" s="8" t="inlineStr">
        <is>
          <t>Реквизит еда</t>
        </is>
      </c>
      <c r="B13" s="9">
        <f>1610+655</f>
        <v/>
      </c>
      <c r="C13" s="5" t="n"/>
    </row>
    <row r="14">
      <c r="A14" s="8" t="inlineStr">
        <is>
          <t>ИТОГО:</t>
        </is>
      </c>
      <c r="C14" s="6">
        <f>SUM(B12:B13)</f>
        <v/>
      </c>
    </row>
    <row r="15">
      <c r="A15" s="11" t="inlineStr">
        <is>
          <t>Обед</t>
        </is>
      </c>
    </row>
    <row r="16">
      <c r="A16" s="8" t="inlineStr">
        <is>
          <t>Обед на группу, 4 чел.</t>
        </is>
      </c>
      <c r="B16" s="9" t="n">
        <v>0</v>
      </c>
      <c r="C16" s="8" t="n"/>
    </row>
    <row r="17">
      <c r="A17" s="8" t="inlineStr">
        <is>
          <t>ИТОГО:</t>
        </is>
      </c>
      <c r="C17" s="6">
        <f>SUM(B16)</f>
        <v/>
      </c>
    </row>
    <row r="18">
      <c r="A18" s="11" t="inlineStr">
        <is>
          <t xml:space="preserve">Монтаж </t>
        </is>
      </c>
    </row>
    <row r="19">
      <c r="A19" s="8" t="inlineStr">
        <is>
          <t>19 роликов</t>
        </is>
      </c>
      <c r="B19" s="9">
        <f>1100*19</f>
        <v/>
      </c>
      <c r="C19" s="8" t="inlineStr">
        <is>
          <t>4 × 600 ₽</t>
        </is>
      </c>
    </row>
    <row r="20">
      <c r="A20" s="8" t="inlineStr">
        <is>
          <t>ИТОГО:</t>
        </is>
      </c>
      <c r="C20" s="6">
        <f>SUM(B19)</f>
        <v/>
      </c>
    </row>
    <row r="21">
      <c r="A21" s="5" t="n"/>
      <c r="B21" s="5" t="n"/>
      <c r="C21" s="5" t="n"/>
    </row>
    <row r="22">
      <c r="A22" s="7" t="inlineStr">
        <is>
          <t>ИТОГОВАЯ СТОИМОСТЬ</t>
        </is>
      </c>
    </row>
    <row r="23">
      <c r="A23" s="12">
        <f>C10+C14+C17+C20+C4+C7</f>
        <v/>
      </c>
    </row>
  </sheetData>
  <mergeCells count="14">
    <mergeCell ref="A4:B4"/>
    <mergeCell ref="A20:B20"/>
    <mergeCell ref="A11:C11"/>
    <mergeCell ref="A7:B7"/>
    <mergeCell ref="A5:C5"/>
    <mergeCell ref="A23:C23"/>
    <mergeCell ref="A8:C8"/>
    <mergeCell ref="A10:B10"/>
    <mergeCell ref="A22:C22"/>
    <mergeCell ref="A18:C18"/>
    <mergeCell ref="A14:B14"/>
    <mergeCell ref="A17:B17"/>
    <mergeCell ref="A15:C1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2026-10-11T18:25:11Z</dcterms:created>
  <dcterms:modified xsi:type="dcterms:W3CDTF">2026-10-11T18:25:12Z</dcterms:modified>
</cp:coreProperties>
</file>